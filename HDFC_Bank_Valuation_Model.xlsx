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_rels/drawing1.xml.rels" ContentType="application/vnd.openxmlformats-package.relationships+xml"/>
  <Override PartName="/xl/drawings/vmlDrawing1.vml" ContentType="application/vnd.openxmlformats-officedocument.vmlDrawing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Comps" sheetId="1" state="visible" r:id="rId3"/>
    <sheet name="DDM" sheetId="2" state="visible" r:id="rId4"/>
    <sheet name="Summary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G24" authorId="0">
      <text>
        <r>
          <rPr>
            <sz val="10"/>
            <rFont val="Arial"/>
            <family val="2"/>
          </rPr>
          <t xml:space="preserve">Gordon Growth terminal value at end of Year 5, based on Year-6 dividend.</t>
        </r>
      </text>
    </comment>
  </commentList>
</comments>
</file>

<file path=xl/sharedStrings.xml><?xml version="1.0" encoding="utf-8"?>
<sst xmlns="http://schemas.openxmlformats.org/spreadsheetml/2006/main" count="85" uniqueCount="82">
  <si>
    <t xml:space="preserve">HDFC Bank — Trading Comparables</t>
  </si>
  <si>
    <t xml:space="preserve">All figures as reported on Screener.in / company filings, accessed 15-Jul-2026. Consolidated financials. Currency: INR.</t>
  </si>
  <si>
    <t xml:space="preserve">Company</t>
  </si>
  <si>
    <t xml:space="preserve">Price (₹)</t>
  </si>
  <si>
    <t xml:space="preserve">Mkt Cap (₹ Cr)</t>
  </si>
  <si>
    <t xml:space="preserve">EPS (₹)</t>
  </si>
  <si>
    <t xml:space="preserve">P/E (x)</t>
  </si>
  <si>
    <t xml:space="preserve">Book Value /Share (₹)</t>
  </si>
  <si>
    <t xml:space="preserve">P/B (x)</t>
  </si>
  <si>
    <t xml:space="preserve">ROE (%)</t>
  </si>
  <si>
    <t xml:space="preserve">HDFC Bank (Target)</t>
  </si>
  <si>
    <t xml:space="preserve">ICICI Bank</t>
  </si>
  <si>
    <t xml:space="preserve">Axis Bank</t>
  </si>
  <si>
    <t xml:space="preserve">Kotak Mahindra Bank</t>
  </si>
  <si>
    <t xml:space="preserve">State Bank of India</t>
  </si>
  <si>
    <t xml:space="preserve">Source: Screener.in company pages (HDFCBANK, ICICIBANK, AXISBANK, KOTAKBANK, SBIN — consolidated), accessed 15-Jul-2026.</t>
  </si>
  <si>
    <t xml:space="preserve">Peer Set Statistics (excl. HDFC Bank)</t>
  </si>
  <si>
    <t xml:space="preserve">Metric</t>
  </si>
  <si>
    <t xml:space="preserve">Peer Average</t>
  </si>
  <si>
    <t xml:space="preserve">Peer Median</t>
  </si>
  <si>
    <t xml:space="preserve">Implied Valuation — HDFC Bank</t>
  </si>
  <si>
    <t xml:space="preserve">Method</t>
  </si>
  <si>
    <t xml:space="preserve">Multiple Applied</t>
  </si>
  <si>
    <t xml:space="preserve">HDFC Metric</t>
  </si>
  <si>
    <t xml:space="preserve">Implied Price (₹)</t>
  </si>
  <si>
    <t xml:space="preserve">vs Current Price</t>
  </si>
  <si>
    <t xml:space="preserve">P/E — Peer Average</t>
  </si>
  <si>
    <t xml:space="preserve">P/E — Peer Median</t>
  </si>
  <si>
    <t xml:space="preserve">P/B — Peer Average</t>
  </si>
  <si>
    <t xml:space="preserve">P/B — Peer Median</t>
  </si>
  <si>
    <t xml:space="preserve">HDFC Bank — Dividend Discount Model</t>
  </si>
  <si>
    <t xml:space="preserve">Two-stage DDM. Banks are valued on DDM/comps rather than a standard FCF DCF, since leverage is core to the business, not a financing choice.</t>
  </si>
  <si>
    <t xml:space="preserve">Assumptions</t>
  </si>
  <si>
    <t xml:space="preserve">Current EPS, FY26 (₹)</t>
  </si>
  <si>
    <t xml:space="preserve">Source: Screener.in, HDFC Bank consolidated P&amp;L, FY ending Mar-2026.</t>
  </si>
  <si>
    <t xml:space="preserve">Dividend Payout Ratio, FY26</t>
  </si>
  <si>
    <t xml:space="preserve">Source: Screener.in — reported dividend payout %, FY26.</t>
  </si>
  <si>
    <t xml:space="preserve">Current ROE (₹)</t>
  </si>
  <si>
    <t xml:space="preserve">Source: Screener.in — trailing ROE.</t>
  </si>
  <si>
    <t xml:space="preserve">Risk-free rate (10Y India G-Sec)</t>
  </si>
  <si>
    <t xml:space="preserve">Approximate — verify against current 10-year G-Sec yield before use.</t>
  </si>
  <si>
    <t xml:space="preserve">Equity Risk Premium — India</t>
  </si>
  <si>
    <t xml:space="preserve">Commonly used long-run India equity risk premium estimate — adjust per house view.</t>
  </si>
  <si>
    <t xml:space="preserve">Beta (HDFC Bank, vs Nifty)</t>
  </si>
  <si>
    <t xml:space="preserve">Typical large private-bank beta; adjust to your source (Bloomberg/NSE).</t>
  </si>
  <si>
    <t xml:space="preserve">High-growth phase length (years)</t>
  </si>
  <si>
    <t xml:space="preserve">Assumption — user-adjustable.</t>
  </si>
  <si>
    <t xml:space="preserve">Terminal growth rate (g)</t>
  </si>
  <si>
    <t xml:space="preserve">Long-run nominal GDP growth proxy — must stay below cost of equity.</t>
  </si>
  <si>
    <t xml:space="preserve">Cost of Equity (CAPM)</t>
  </si>
  <si>
    <t xml:space="preserve">Cost of Equity, Ke = Rf + Beta × ERP</t>
  </si>
  <si>
    <t xml:space="preserve">High-Growth Phase Dividend Rate, g1 = ROE × (1 - Payout)</t>
  </si>
  <si>
    <t xml:space="preserve">Current DPS, FY26 (₹) = EPS × Payout</t>
  </si>
  <si>
    <t xml:space="preserve">Dividend Projection &amp; Present Value</t>
  </si>
  <si>
    <t xml:space="preserve">Year 1</t>
  </si>
  <si>
    <t xml:space="preserve">Year 2</t>
  </si>
  <si>
    <t xml:space="preserve">Year 3</t>
  </si>
  <si>
    <t xml:space="preserve">Year 4</t>
  </si>
  <si>
    <t xml:space="preserve">Year 5</t>
  </si>
  <si>
    <t xml:space="preserve">Terminal</t>
  </si>
  <si>
    <t xml:space="preserve">Growth rate applied</t>
  </si>
  <si>
    <t xml:space="preserve">Projected DPS (₹)</t>
  </si>
  <si>
    <t xml:space="preserve">Discount factor @ Ke</t>
  </si>
  <si>
    <t xml:space="preserve">PV of Dividend (₹)</t>
  </si>
  <si>
    <t xml:space="preserve">Sum of PV of Dividends, Yr 1-5 (₹)</t>
  </si>
  <si>
    <t xml:space="preserve">PV of Terminal Value (₹)</t>
  </si>
  <si>
    <t xml:space="preserve">Intrinsic Value per Share (₹)</t>
  </si>
  <si>
    <t xml:space="preserve">Current Market Price (₹)</t>
  </si>
  <si>
    <t xml:space="preserve">Implied Upside / (Downside)</t>
  </si>
  <si>
    <t xml:space="preserve">Sensitivity — Intrinsic Value (₹) by Cost of Equity vs. Terminal Growth</t>
  </si>
  <si>
    <t xml:space="preserve">Base case (Ke=13.7%, g=6.0%) implies HDFC trades well above intrinsic value — a common result for low dividend-payout banks under a plain DDM, since most value creation is retained rather than paid out. Use this grid to see how sensitive the answer is to the Ke/g spread, and pair with the Comps tab rather than relying on DDM alone.</t>
  </si>
  <si>
    <t xml:space="preserve">Ke \ g</t>
  </si>
  <si>
    <t xml:space="preserve">HDFC Bank — Valuation Summary</t>
  </si>
  <si>
    <t xml:space="preserve">Implied value per share (₹) across methodologies vs. current market price.</t>
  </si>
  <si>
    <t xml:space="preserve">Methodology</t>
  </si>
  <si>
    <t xml:space="preserve">Implied Value (₹)</t>
  </si>
  <si>
    <t xml:space="preserve">Comps — P/E (Peer Avg)</t>
  </si>
  <si>
    <t xml:space="preserve">Comps — P/E (Peer Median)</t>
  </si>
  <si>
    <t xml:space="preserve">Comps — P/B (Peer Avg)</t>
  </si>
  <si>
    <t xml:space="preserve">Comps — P/B (Peer Median)</t>
  </si>
  <si>
    <t xml:space="preserve">DDM — Intrinsic Value</t>
  </si>
  <si>
    <t xml:space="preserve">Current Market Price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</si>
</sst>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\$#,##0;&quot;($&quot;#,##0\);\-"/>
    <numFmt numFmtId="166" formatCode="\$#,##0.00;&quot;($&quot;#,##0.00\);\-"/>
    <numFmt numFmtId="167" formatCode="0.0\x"/>
    <numFmt numFmtId="168" formatCode="0.0%"/>
    <numFmt numFmtId="169" formatCode="0.00"/>
    <numFmt numFmtId="170" formatCode="0"/>
    <numFmt numFmtId="171" formatCode="0.000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i val="true"/>
      <sz val="8"/>
      <color rgb="FF808080"/>
      <name val="Arial"/>
      <family val="0"/>
      <charset val="1"/>
    </font>
    <font>
      <sz val="10"/>
      <color rgb="FF008000"/>
      <name val="Arial"/>
      <family val="0"/>
      <charset val="1"/>
    </font>
    <font>
      <sz val="10"/>
      <name val="Arial"/>
      <family val="2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9E1F2"/>
        <bgColor rgb="FFD9D9D9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D9E1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81BD"/>
      <rgbColor rgb="FF33CCCC"/>
      <rgbColor rgb="FF99CC00"/>
      <rgbColor rgb="FFFFCC00"/>
      <rgbColor rgb="FFFF9900"/>
      <rgbColor rgb="FFFF6600"/>
      <rgbColor rgb="FF595959"/>
      <rgbColor rgb="FF878787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HDFC Bank — Implied Value per Share by Methodology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Summary!B4</c:f>
              <c:strCache>
                <c:ptCount val="1"/>
                <c:pt idx="0">
                  <c:v>Implied Value (₹)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Summary!$A$5:$A$10</c:f>
              <c:strCache>
                <c:ptCount val="6"/>
                <c:pt idx="0">
                  <c:v>Comps — P/E (Peer Avg)</c:v>
                </c:pt>
                <c:pt idx="1">
                  <c:v>Comps — P/E (Peer Median)</c:v>
                </c:pt>
                <c:pt idx="2">
                  <c:v>Comps — P/B (Peer Avg)</c:v>
                </c:pt>
                <c:pt idx="3">
                  <c:v>Comps — P/B (Peer Median)</c:v>
                </c:pt>
                <c:pt idx="4">
                  <c:v>DDM — Intrinsic Value</c:v>
                </c:pt>
                <c:pt idx="5">
                  <c:v>Current Market Price</c:v>
                </c:pt>
              </c:strCache>
            </c:strRef>
          </c:cat>
          <c:val>
            <c:numRef>
              <c:f>Summary!$B$5:$B$10</c:f>
              <c:numCache>
                <c:formatCode>\$#,##0;"($"#,##0\);\-</c:formatCode>
                <c:ptCount val="6"/>
                <c:pt idx="0">
                  <c:v>808.004720092616</c:v>
                </c:pt>
                <c:pt idx="1">
                  <c:v>828.891692814022</c:v>
                </c:pt>
                <c:pt idx="2">
                  <c:v>801.471023742193</c:v>
                </c:pt>
                <c:pt idx="3">
                  <c:v>738.687772925764</c:v>
                </c:pt>
                <c:pt idx="4">
                  <c:v>242.507962815859</c:v>
                </c:pt>
                <c:pt idx="5">
                  <c:v>799</c:v>
                </c:pt>
              </c:numCache>
            </c:numRef>
          </c:val>
        </c:ser>
        <c:gapWidth val="150"/>
        <c:overlap val="0"/>
        <c:axId val="7614875"/>
        <c:axId val="90962907"/>
      </c:barChart>
      <c:catAx>
        <c:axId val="7614875"/>
        <c:scaling>
          <c:orientation val="minMax"/>
        </c:scaling>
        <c:delete val="0"/>
        <c:axPos val="b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₹ per share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0962907"/>
        <c:crosses val="autoZero"/>
        <c:auto val="1"/>
        <c:lblAlgn val="ctr"/>
        <c:lblOffset val="100"/>
        <c:noMultiLvlLbl val="0"/>
      </c:catAx>
      <c:valAx>
        <c:axId val="9096290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;&quot;($&quot;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61487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12</xdr:row>
      <xdr:rowOff>0</xdr:rowOff>
    </xdr:from>
    <xdr:to>
      <xdr:col>7</xdr:col>
      <xdr:colOff>149400</xdr:colOff>
      <xdr:row>29</xdr:row>
      <xdr:rowOff>1080</xdr:rowOff>
    </xdr:to>
    <xdr:graphicFrame>
      <xdr:nvGraphicFramePr>
        <xdr:cNvPr id="0" name="Chart 1"/>
        <xdr:cNvGraphicFramePr/>
      </xdr:nvGraphicFramePr>
      <xdr:xfrm>
        <a:off x="0" y="2419200"/>
        <a:ext cx="719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3"/>
    <col collapsed="false" customWidth="true" hidden="false" outlineLevel="0" max="3" min="3" style="0" width="15"/>
    <col collapsed="false" customWidth="true" hidden="false" outlineLevel="0" max="4" min="4" style="0" width="11"/>
    <col collapsed="false" customWidth="true" hidden="false" outlineLevel="0" max="5" min="5" style="0" width="9"/>
    <col collapsed="false" customWidth="true" hidden="false" outlineLevel="0" max="6" min="6" style="0" width="15"/>
    <col collapsed="false" customWidth="true" hidden="false" outlineLevel="0" max="8" min="7" style="0" width="9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4" customFormat="false" ht="23.8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customFormat="false" ht="15" hidden="false" customHeight="false" outlineLevel="0" collapsed="false">
      <c r="A5" s="4" t="s">
        <v>10</v>
      </c>
      <c r="B5" s="5" t="n">
        <v>799</v>
      </c>
      <c r="C5" s="5" t="n">
        <v>1230412</v>
      </c>
      <c r="D5" s="6" t="n">
        <v>49.39</v>
      </c>
      <c r="E5" s="7" t="n">
        <f aca="false">B5/D5</f>
        <v>16.1773638388338</v>
      </c>
      <c r="F5" s="6" t="n">
        <v>378</v>
      </c>
      <c r="G5" s="7" t="n">
        <f aca="false">B5/F5</f>
        <v>2.11375661375661</v>
      </c>
      <c r="H5" s="8" t="n">
        <v>0.138</v>
      </c>
    </row>
    <row r="6" customFormat="false" ht="15" hidden="false" customHeight="false" outlineLevel="0" collapsed="false">
      <c r="A6" s="9" t="s">
        <v>11</v>
      </c>
      <c r="B6" s="5" t="n">
        <v>1417</v>
      </c>
      <c r="C6" s="5" t="n">
        <v>1016736</v>
      </c>
      <c r="D6" s="6" t="n">
        <v>75.78</v>
      </c>
      <c r="E6" s="7" t="n">
        <f aca="false">B6/D6</f>
        <v>18.6988651359198</v>
      </c>
      <c r="F6" s="6" t="n">
        <v>503</v>
      </c>
      <c r="G6" s="7" t="n">
        <f aca="false">B6/F6</f>
        <v>2.81709741550696</v>
      </c>
      <c r="H6" s="8" t="n">
        <v>0.161</v>
      </c>
    </row>
    <row r="7" customFormat="false" ht="15" hidden="false" customHeight="false" outlineLevel="0" collapsed="false">
      <c r="A7" s="9" t="s">
        <v>12</v>
      </c>
      <c r="B7" s="5" t="n">
        <v>1262</v>
      </c>
      <c r="C7" s="5" t="n">
        <v>392307</v>
      </c>
      <c r="D7" s="6" t="n">
        <v>84.89</v>
      </c>
      <c r="E7" s="7" t="n">
        <f aca="false">B7/D7</f>
        <v>14.8662975615502</v>
      </c>
      <c r="F7" s="6" t="n">
        <v>687</v>
      </c>
      <c r="G7" s="7" t="n">
        <f aca="false">B7/F7</f>
        <v>1.83697234352256</v>
      </c>
      <c r="H7" s="8" t="n">
        <v>0.132</v>
      </c>
    </row>
    <row r="8" customFormat="false" ht="15" hidden="false" customHeight="false" outlineLevel="0" collapsed="false">
      <c r="A8" s="9" t="s">
        <v>13</v>
      </c>
      <c r="B8" s="5" t="n">
        <v>377</v>
      </c>
      <c r="C8" s="5" t="n">
        <v>375431</v>
      </c>
      <c r="D8" s="6" t="n">
        <v>19.39</v>
      </c>
      <c r="E8" s="7" t="n">
        <f aca="false">B8/D8</f>
        <v>19.4430118617844</v>
      </c>
      <c r="F8" s="6" t="n">
        <v>182</v>
      </c>
      <c r="G8" s="7" t="n">
        <f aca="false">B8/F8</f>
        <v>2.07142857142857</v>
      </c>
      <c r="H8" s="8" t="n">
        <v>0.112</v>
      </c>
    </row>
    <row r="9" customFormat="false" ht="15" hidden="false" customHeight="false" outlineLevel="0" collapsed="false">
      <c r="A9" s="9" t="s">
        <v>14</v>
      </c>
      <c r="B9" s="5" t="n">
        <v>1074</v>
      </c>
      <c r="C9" s="5" t="n">
        <v>1007153</v>
      </c>
      <c r="D9" s="6" t="n">
        <v>86.4</v>
      </c>
      <c r="E9" s="7" t="n">
        <f aca="false">B9/D9</f>
        <v>12.4305555555556</v>
      </c>
      <c r="F9" s="6" t="n">
        <v>611.73</v>
      </c>
      <c r="G9" s="7" t="n">
        <f aca="false">B9/F9</f>
        <v>1.75567652395665</v>
      </c>
      <c r="H9" s="8" t="n">
        <v>0.1435</v>
      </c>
    </row>
    <row r="10" customFormat="false" ht="15" hidden="false" customHeight="false" outlineLevel="0" collapsed="false">
      <c r="A10" s="10" t="s">
        <v>15</v>
      </c>
      <c r="B10" s="10"/>
      <c r="C10" s="10"/>
      <c r="D10" s="10"/>
      <c r="E10" s="10"/>
      <c r="F10" s="10"/>
      <c r="G10" s="10"/>
      <c r="H10" s="10"/>
    </row>
    <row r="12" customFormat="false" ht="15" hidden="false" customHeight="false" outlineLevel="0" collapsed="false">
      <c r="A12" s="11" t="s">
        <v>16</v>
      </c>
      <c r="B12" s="11"/>
      <c r="C12" s="11"/>
      <c r="D12" s="11"/>
      <c r="E12" s="11"/>
      <c r="F12" s="11"/>
      <c r="G12" s="11"/>
      <c r="H12" s="11"/>
    </row>
    <row r="13" customFormat="false" ht="15" hidden="false" customHeight="false" outlineLevel="0" collapsed="false">
      <c r="A13" s="3" t="s">
        <v>17</v>
      </c>
      <c r="B13" s="3"/>
      <c r="C13" s="3"/>
      <c r="D13" s="3"/>
      <c r="E13" s="3" t="s">
        <v>6</v>
      </c>
      <c r="F13" s="3"/>
      <c r="G13" s="3" t="s">
        <v>8</v>
      </c>
      <c r="H13" s="3" t="s">
        <v>9</v>
      </c>
    </row>
    <row r="14" customFormat="false" ht="15" hidden="false" customHeight="false" outlineLevel="0" collapsed="false">
      <c r="A14" s="9" t="s">
        <v>18</v>
      </c>
      <c r="B14" s="9"/>
      <c r="C14" s="9"/>
      <c r="D14" s="9"/>
      <c r="E14" s="7" t="n">
        <f aca="false">AVERAGE(E6:E9)</f>
        <v>16.3596825287025</v>
      </c>
      <c r="F14" s="9"/>
      <c r="G14" s="7" t="n">
        <f aca="false">AVERAGE(G6:G9)</f>
        <v>2.12029371360369</v>
      </c>
      <c r="H14" s="12" t="n">
        <f aca="false">AVERAGE(H6:H9)</f>
        <v>0.137125</v>
      </c>
    </row>
    <row r="15" customFormat="false" ht="15" hidden="false" customHeight="false" outlineLevel="0" collapsed="false">
      <c r="A15" s="9" t="s">
        <v>19</v>
      </c>
      <c r="B15" s="9"/>
      <c r="C15" s="9"/>
      <c r="D15" s="9"/>
      <c r="E15" s="7" t="n">
        <f aca="false">MEDIAN(E6:E9)</f>
        <v>16.782581348735</v>
      </c>
      <c r="F15" s="9"/>
      <c r="G15" s="7" t="n">
        <f aca="false">MEDIAN(G6:G9)</f>
        <v>1.95420045747557</v>
      </c>
      <c r="H15" s="12" t="n">
        <f aca="false">MEDIAN(H6:H9)</f>
        <v>0.13775</v>
      </c>
    </row>
    <row r="17" customFormat="false" ht="15" hidden="false" customHeight="false" outlineLevel="0" collapsed="false">
      <c r="A17" s="11" t="s">
        <v>20</v>
      </c>
      <c r="B17" s="11"/>
      <c r="C17" s="11"/>
      <c r="D17" s="11"/>
      <c r="E17" s="11"/>
      <c r="F17" s="11"/>
      <c r="G17" s="11"/>
      <c r="H17" s="11"/>
    </row>
    <row r="18" customFormat="false" ht="35.05" hidden="false" customHeight="false" outlineLevel="0" collapsed="false">
      <c r="A18" s="3" t="s">
        <v>21</v>
      </c>
      <c r="B18" s="3" t="s">
        <v>22</v>
      </c>
      <c r="C18" s="3" t="s">
        <v>23</v>
      </c>
      <c r="D18" s="3" t="s">
        <v>24</v>
      </c>
      <c r="E18" s="3" t="s">
        <v>25</v>
      </c>
      <c r="F18" s="3"/>
      <c r="G18" s="3"/>
      <c r="H18" s="3"/>
    </row>
    <row r="19" customFormat="false" ht="15" hidden="false" customHeight="false" outlineLevel="0" collapsed="false">
      <c r="A19" s="9" t="s">
        <v>26</v>
      </c>
      <c r="B19" s="7" t="n">
        <f aca="false">E14</f>
        <v>16.3596825287025</v>
      </c>
      <c r="C19" s="13" t="n">
        <f aca="false">D5</f>
        <v>49.39</v>
      </c>
      <c r="D19" s="14" t="n">
        <f aca="false">B19*C19</f>
        <v>808.004720092616</v>
      </c>
      <c r="E19" s="12" t="n">
        <f aca="false">D19/$B$5-1</f>
        <v>0.0112699876002706</v>
      </c>
    </row>
    <row r="20" customFormat="false" ht="15" hidden="false" customHeight="false" outlineLevel="0" collapsed="false">
      <c r="A20" s="9" t="s">
        <v>27</v>
      </c>
      <c r="B20" s="7" t="n">
        <f aca="false">E15</f>
        <v>16.782581348735</v>
      </c>
      <c r="C20" s="13" t="n">
        <f aca="false">D5</f>
        <v>49.39</v>
      </c>
      <c r="D20" s="14" t="n">
        <f aca="false">B20*C20</f>
        <v>828.891692814022</v>
      </c>
      <c r="E20" s="12" t="n">
        <f aca="false">D20/$B$5-1</f>
        <v>0.0374113802428309</v>
      </c>
    </row>
    <row r="21" customFormat="false" ht="15" hidden="false" customHeight="false" outlineLevel="0" collapsed="false">
      <c r="A21" s="9" t="s">
        <v>28</v>
      </c>
      <c r="B21" s="7" t="n">
        <f aca="false">G14</f>
        <v>2.12029371360369</v>
      </c>
      <c r="C21" s="13" t="n">
        <f aca="false">F5</f>
        <v>378</v>
      </c>
      <c r="D21" s="14" t="n">
        <f aca="false">B21*C21</f>
        <v>801.471023742193</v>
      </c>
      <c r="E21" s="12" t="n">
        <f aca="false">D21/$B$5-1</f>
        <v>0.00309264548459676</v>
      </c>
    </row>
    <row r="22" customFormat="false" ht="15" hidden="false" customHeight="false" outlineLevel="0" collapsed="false">
      <c r="A22" s="9" t="s">
        <v>29</v>
      </c>
      <c r="B22" s="7" t="n">
        <f aca="false">G15</f>
        <v>1.95420045747557</v>
      </c>
      <c r="C22" s="13" t="n">
        <f aca="false">F5</f>
        <v>378</v>
      </c>
      <c r="D22" s="14" t="n">
        <f aca="false">B22*C22</f>
        <v>738.687772925764</v>
      </c>
      <c r="E22" s="12" t="n">
        <f aca="false">D22/$B$5-1</f>
        <v>-0.0754846396423476</v>
      </c>
    </row>
  </sheetData>
  <mergeCells count="5">
    <mergeCell ref="A1:H1"/>
    <mergeCell ref="A2:H2"/>
    <mergeCell ref="A10:H10"/>
    <mergeCell ref="A12:H12"/>
    <mergeCell ref="A17:H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8" min="2" style="0" width="14"/>
  </cols>
  <sheetData>
    <row r="1" customFormat="false" ht="25.5" hidden="false" customHeight="true" outlineLevel="0" collapsed="false">
      <c r="A1" s="1" t="s">
        <v>30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 t="s">
        <v>31</v>
      </c>
      <c r="B2" s="2"/>
      <c r="C2" s="2"/>
      <c r="D2" s="2"/>
      <c r="E2" s="2"/>
      <c r="F2" s="2"/>
      <c r="G2" s="2"/>
      <c r="H2" s="2"/>
    </row>
    <row r="4" customFormat="false" ht="15" hidden="false" customHeight="false" outlineLevel="0" collapsed="false">
      <c r="A4" s="11" t="s">
        <v>32</v>
      </c>
      <c r="B4" s="11"/>
      <c r="C4" s="11"/>
    </row>
    <row r="5" customFormat="false" ht="15" hidden="false" customHeight="false" outlineLevel="0" collapsed="false">
      <c r="A5" s="9" t="s">
        <v>33</v>
      </c>
      <c r="B5" s="15" t="n">
        <v>49.39</v>
      </c>
      <c r="C5" s="10" t="s">
        <v>34</v>
      </c>
      <c r="D5" s="10"/>
      <c r="E5" s="10"/>
      <c r="F5" s="10"/>
      <c r="G5" s="10"/>
      <c r="H5" s="10"/>
    </row>
    <row r="6" customFormat="false" ht="15" hidden="false" customHeight="false" outlineLevel="0" collapsed="false">
      <c r="A6" s="9" t="s">
        <v>35</v>
      </c>
      <c r="B6" s="16" t="n">
        <v>0.31</v>
      </c>
      <c r="C6" s="10" t="s">
        <v>36</v>
      </c>
      <c r="D6" s="10"/>
      <c r="E6" s="10"/>
      <c r="F6" s="10"/>
      <c r="G6" s="10"/>
      <c r="H6" s="10"/>
    </row>
    <row r="7" customFormat="false" ht="15" hidden="false" customHeight="false" outlineLevel="0" collapsed="false">
      <c r="A7" s="9" t="s">
        <v>37</v>
      </c>
      <c r="B7" s="16" t="n">
        <v>0.138</v>
      </c>
      <c r="C7" s="10" t="s">
        <v>38</v>
      </c>
      <c r="D7" s="10"/>
      <c r="E7" s="10"/>
      <c r="F7" s="10"/>
      <c r="G7" s="10"/>
      <c r="H7" s="10"/>
    </row>
    <row r="8" customFormat="false" ht="15" hidden="false" customHeight="false" outlineLevel="0" collapsed="false">
      <c r="A8" s="9" t="s">
        <v>39</v>
      </c>
      <c r="B8" s="16" t="n">
        <v>0.069</v>
      </c>
      <c r="C8" s="10" t="s">
        <v>40</v>
      </c>
      <c r="D8" s="10"/>
      <c r="E8" s="10"/>
      <c r="F8" s="10"/>
      <c r="G8" s="10"/>
      <c r="H8" s="10"/>
    </row>
    <row r="9" customFormat="false" ht="15" hidden="false" customHeight="false" outlineLevel="0" collapsed="false">
      <c r="A9" s="9" t="s">
        <v>41</v>
      </c>
      <c r="B9" s="16" t="n">
        <v>0.065</v>
      </c>
      <c r="C9" s="10" t="s">
        <v>42</v>
      </c>
      <c r="D9" s="10"/>
      <c r="E9" s="10"/>
      <c r="F9" s="10"/>
      <c r="G9" s="10"/>
      <c r="H9" s="10"/>
    </row>
    <row r="10" customFormat="false" ht="15" hidden="false" customHeight="false" outlineLevel="0" collapsed="false">
      <c r="A10" s="9" t="s">
        <v>43</v>
      </c>
      <c r="B10" s="17" t="n">
        <v>1.05</v>
      </c>
      <c r="C10" s="10" t="s">
        <v>44</v>
      </c>
      <c r="D10" s="10"/>
      <c r="E10" s="10"/>
      <c r="F10" s="10"/>
      <c r="G10" s="10"/>
      <c r="H10" s="10"/>
    </row>
    <row r="11" customFormat="false" ht="15" hidden="false" customHeight="false" outlineLevel="0" collapsed="false">
      <c r="A11" s="9" t="s">
        <v>45</v>
      </c>
      <c r="B11" s="18" t="n">
        <v>5</v>
      </c>
      <c r="C11" s="10" t="s">
        <v>46</v>
      </c>
      <c r="D11" s="10"/>
      <c r="E11" s="10"/>
      <c r="F11" s="10"/>
      <c r="G11" s="10"/>
      <c r="H11" s="10"/>
    </row>
    <row r="12" customFormat="false" ht="15" hidden="false" customHeight="false" outlineLevel="0" collapsed="false">
      <c r="A12" s="9" t="s">
        <v>47</v>
      </c>
      <c r="B12" s="16" t="n">
        <v>0.06</v>
      </c>
      <c r="C12" s="10" t="s">
        <v>48</v>
      </c>
      <c r="D12" s="10"/>
      <c r="E12" s="10"/>
      <c r="F12" s="10"/>
      <c r="G12" s="10"/>
      <c r="H12" s="10"/>
    </row>
    <row r="14" customFormat="false" ht="15" hidden="false" customHeight="false" outlineLevel="0" collapsed="false">
      <c r="A14" s="11" t="s">
        <v>49</v>
      </c>
      <c r="B14" s="11"/>
      <c r="C14" s="11"/>
    </row>
    <row r="15" customFormat="false" ht="15" hidden="false" customHeight="false" outlineLevel="0" collapsed="false">
      <c r="A15" s="0" t="s">
        <v>50</v>
      </c>
      <c r="B15" s="12" t="n">
        <f aca="false">B8+B10*B9</f>
        <v>0.13725</v>
      </c>
    </row>
    <row r="17" customFormat="false" ht="15" hidden="false" customHeight="false" outlineLevel="0" collapsed="false">
      <c r="A17" s="0" t="s">
        <v>51</v>
      </c>
      <c r="B17" s="12" t="n">
        <f aca="false">B7*(1-B6)</f>
        <v>0.09522</v>
      </c>
    </row>
    <row r="18" customFormat="false" ht="15" hidden="false" customHeight="false" outlineLevel="0" collapsed="false">
      <c r="A18" s="0" t="s">
        <v>52</v>
      </c>
      <c r="B18" s="13" t="n">
        <f aca="false">B5*B6</f>
        <v>15.3109</v>
      </c>
    </row>
    <row r="21" customFormat="false" ht="15" hidden="false" customHeight="false" outlineLevel="0" collapsed="false">
      <c r="A21" s="11" t="s">
        <v>53</v>
      </c>
      <c r="B21" s="11"/>
      <c r="C21" s="11"/>
      <c r="D21" s="11"/>
      <c r="E21" s="11"/>
      <c r="F21" s="11"/>
      <c r="G21" s="11"/>
      <c r="H21" s="11"/>
    </row>
    <row r="22" customFormat="false" ht="15" hidden="false" customHeight="false" outlineLevel="0" collapsed="false">
      <c r="A22" s="3"/>
      <c r="B22" s="3" t="s">
        <v>54</v>
      </c>
      <c r="C22" s="3" t="s">
        <v>55</v>
      </c>
      <c r="D22" s="3" t="s">
        <v>56</v>
      </c>
      <c r="E22" s="3" t="s">
        <v>57</v>
      </c>
      <c r="F22" s="3" t="s">
        <v>58</v>
      </c>
      <c r="G22" s="3" t="s">
        <v>59</v>
      </c>
      <c r="H22" s="3"/>
    </row>
    <row r="23" customFormat="false" ht="15" hidden="false" customHeight="false" outlineLevel="0" collapsed="false">
      <c r="A23" s="19" t="s">
        <v>60</v>
      </c>
      <c r="B23" s="12" t="n">
        <f aca="false">B17</f>
        <v>0.09522</v>
      </c>
      <c r="C23" s="12" t="n">
        <f aca="false">B17</f>
        <v>0.09522</v>
      </c>
      <c r="D23" s="12" t="n">
        <f aca="false">B17</f>
        <v>0.09522</v>
      </c>
      <c r="E23" s="12" t="n">
        <f aca="false">B17</f>
        <v>0.09522</v>
      </c>
      <c r="F23" s="12" t="n">
        <f aca="false">B17</f>
        <v>0.09522</v>
      </c>
      <c r="G23" s="12" t="n">
        <f aca="false">B12</f>
        <v>0.06</v>
      </c>
    </row>
    <row r="24" customFormat="false" ht="15" hidden="false" customHeight="false" outlineLevel="0" collapsed="false">
      <c r="A24" s="19" t="s">
        <v>61</v>
      </c>
      <c r="B24" s="13" t="n">
        <f aca="false">B18*(1+B23)</f>
        <v>16.768803898</v>
      </c>
      <c r="C24" s="13" t="n">
        <f aca="false">B24*(1+C23)</f>
        <v>18.3655294051676</v>
      </c>
      <c r="D24" s="13" t="n">
        <f aca="false">C24*(1+D23)</f>
        <v>20.1142951151276</v>
      </c>
      <c r="E24" s="13" t="n">
        <f aca="false">D24*(1+E23)</f>
        <v>22.0295782959901</v>
      </c>
      <c r="F24" s="13" t="n">
        <f aca="false">E24*(1+F23)</f>
        <v>24.1272347413343</v>
      </c>
      <c r="G24" s="14" t="n">
        <f aca="false">F24*(1+B12)/(B15-B12)</f>
        <v>331.066263117337</v>
      </c>
    </row>
    <row r="25" customFormat="false" ht="15" hidden="false" customHeight="false" outlineLevel="0" collapsed="false">
      <c r="A25" s="19" t="s">
        <v>62</v>
      </c>
      <c r="B25" s="20" t="n">
        <f aca="false">1/(1+B15)^1</f>
        <v>0.87931413497472</v>
      </c>
      <c r="C25" s="20" t="n">
        <f aca="false">1/(1+B15)^2</f>
        <v>0.773193347966339</v>
      </c>
      <c r="D25" s="20" t="n">
        <f aca="false">1/(1+B15)^3</f>
        <v>0.679879839935229</v>
      </c>
      <c r="E25" s="20" t="n">
        <f aca="false">1/(1+B15)^4</f>
        <v>0.597827953339397</v>
      </c>
      <c r="F25" s="20" t="n">
        <f aca="false">1/(1+B15)^5</f>
        <v>0.525678569654339</v>
      </c>
      <c r="G25" s="20" t="n">
        <f aca="false">F25</f>
        <v>0.525678569654339</v>
      </c>
    </row>
    <row r="26" customFormat="false" ht="15" hidden="false" customHeight="false" outlineLevel="0" collapsed="false">
      <c r="A26" s="19" t="s">
        <v>63</v>
      </c>
      <c r="B26" s="13" t="n">
        <f aca="false">B24*B25</f>
        <v>14.7450462941306</v>
      </c>
      <c r="C26" s="13" t="n">
        <f aca="false">C24*C25</f>
        <v>14.2001051679558</v>
      </c>
      <c r="D26" s="13" t="n">
        <f aca="false">D24*D25</f>
        <v>13.6753037432829</v>
      </c>
      <c r="E26" s="13" t="n">
        <f aca="false">E24*E25</f>
        <v>13.1698977056217</v>
      </c>
      <c r="F26" s="13" t="n">
        <f aca="false">F24*F25</f>
        <v>12.6831702485391</v>
      </c>
      <c r="G26" s="14" t="n">
        <f aca="false">G24*G25</f>
        <v>174.034439656329</v>
      </c>
    </row>
    <row r="28" customFormat="false" ht="15" hidden="false" customHeight="false" outlineLevel="0" collapsed="false">
      <c r="A28" s="19" t="s">
        <v>64</v>
      </c>
      <c r="B28" s="13" t="n">
        <f aca="false">SUM(B26:F26)</f>
        <v>68.4735231595301</v>
      </c>
    </row>
    <row r="29" customFormat="false" ht="15" hidden="false" customHeight="false" outlineLevel="0" collapsed="false">
      <c r="A29" s="19" t="s">
        <v>65</v>
      </c>
      <c r="B29" s="13" t="n">
        <f aca="false">G26</f>
        <v>174.034439656329</v>
      </c>
    </row>
    <row r="30" customFormat="false" ht="15" hidden="false" customHeight="false" outlineLevel="0" collapsed="false">
      <c r="A30" s="21" t="s">
        <v>66</v>
      </c>
      <c r="B30" s="22" t="n">
        <f aca="false">B28+B29</f>
        <v>242.507962815859</v>
      </c>
    </row>
    <row r="31" customFormat="false" ht="15" hidden="false" customHeight="false" outlineLevel="0" collapsed="false">
      <c r="A31" s="19" t="s">
        <v>67</v>
      </c>
      <c r="B31" s="23" t="n">
        <f aca="false">Comps!B5</f>
        <v>799</v>
      </c>
    </row>
    <row r="32" customFormat="false" ht="15" hidden="false" customHeight="false" outlineLevel="0" collapsed="false">
      <c r="A32" s="19" t="s">
        <v>68</v>
      </c>
      <c r="B32" s="12" t="n">
        <f aca="false">B30/B31-1</f>
        <v>-0.69648565354711</v>
      </c>
    </row>
    <row r="34" customFormat="false" ht="15" hidden="false" customHeight="false" outlineLevel="0" collapsed="false">
      <c r="A34" s="11" t="s">
        <v>69</v>
      </c>
      <c r="B34" s="11"/>
      <c r="C34" s="11"/>
      <c r="D34" s="11"/>
      <c r="E34" s="11"/>
      <c r="F34" s="11"/>
      <c r="G34" s="11"/>
      <c r="H34" s="11"/>
    </row>
    <row r="35" customFormat="false" ht="30" hidden="false" customHeight="true" outlineLevel="0" collapsed="false">
      <c r="A35" s="24" t="s">
        <v>70</v>
      </c>
      <c r="B35" s="24"/>
      <c r="C35" s="24"/>
      <c r="D35" s="24"/>
      <c r="E35" s="24"/>
      <c r="F35" s="24"/>
      <c r="G35" s="24"/>
      <c r="H35" s="24"/>
    </row>
    <row r="37" customFormat="false" ht="15" hidden="false" customHeight="false" outlineLevel="0" collapsed="false">
      <c r="A37" s="25" t="s">
        <v>71</v>
      </c>
      <c r="B37" s="26" t="n">
        <f aca="false">B12+(-0.01)</f>
        <v>0.05</v>
      </c>
      <c r="C37" s="26" t="n">
        <f aca="false">B12+(-0.005)</f>
        <v>0.055</v>
      </c>
      <c r="D37" s="26" t="n">
        <f aca="false">B12+(0)</f>
        <v>0.06</v>
      </c>
      <c r="E37" s="26" t="n">
        <f aca="false">B12+(0.005)</f>
        <v>0.065</v>
      </c>
      <c r="F37" s="26" t="n">
        <f aca="false">B12+(0.01)</f>
        <v>0.07</v>
      </c>
    </row>
    <row r="38" customFormat="false" ht="15" hidden="false" customHeight="false" outlineLevel="0" collapsed="false">
      <c r="A38" s="27" t="n">
        <f aca="false">B15+(-0.01)</f>
        <v>0.12725</v>
      </c>
      <c r="B38" s="14" t="n">
        <f aca="true">SUMPRODUCT(B18*(1+B17)^ROW(INDIRECT("1:5"))/(1+$A38)^ROW(INDIRECT("1:5")))+(B18*(1+B17)^5*(1+B$37)/($A38-B$37))/(1+$A38)^5</f>
        <v>250.446881802991</v>
      </c>
      <c r="C38" s="14" t="n">
        <f aca="true">SUMPRODUCT(B18*(1+B17)^ROW(INDIRECT("1:5"))/(1+$A38)^ROW(INDIRECT("1:5")))+(B18*(1+B17)^5*(1+C$37)/($A38-C$37))/(1+$A38)^5</f>
        <v>263.833172086786</v>
      </c>
      <c r="D38" s="14" t="n">
        <f aca="true">SUMPRODUCT(B18*(1+B17)^ROW(INDIRECT("1:5"))/(1+$A38)^ROW(INDIRECT("1:5")))+(B18*(1+B17)^5*(1+D$37)/($A38-D$37))/(1+$A38)^5</f>
        <v>279.209988806834</v>
      </c>
      <c r="E38" s="14" t="n">
        <f aca="true">SUMPRODUCT(B18*(1+B17)^ROW(INDIRECT("1:5"))/(1+$A38)^ROW(INDIRECT("1:5")))+(B18*(1+B17)^5*(1+E$37)/($A38-E$37))/(1+$A38)^5</f>
        <v>297.056976887532</v>
      </c>
      <c r="F38" s="14" t="n">
        <f aca="true">SUMPRODUCT(B18*(1+B17)^ROW(INDIRECT("1:5"))/(1+$A38)^ROW(INDIRECT("1:5")))+(B18*(1+B17)^5*(1+F$37)/($A38-F$37))/(1+$A38)^5</f>
        <v>318.021342798919</v>
      </c>
    </row>
    <row r="39" customFormat="false" ht="15" hidden="false" customHeight="false" outlineLevel="0" collapsed="false">
      <c r="A39" s="27" t="n">
        <f aca="false">B15+(-0.005)</f>
        <v>0.13225</v>
      </c>
      <c r="B39" s="14" t="n">
        <f aca="true">SUMPRODUCT(B18*(1+B17)^ROW(INDIRECT("1:5"))/(1+$A39)^ROW(INDIRECT("1:5")))+(B18*(1+B17)^5*(1+B$37)/($A39-B$37))/(1+$A39)^5</f>
        <v>234.88255496328</v>
      </c>
      <c r="C39" s="14" t="n">
        <f aca="true">SUMPRODUCT(B18*(1+B17)^ROW(INDIRECT("1:5"))/(1+$A39)^ROW(INDIRECT("1:5")))+(B18*(1+B17)^5*(1+C$37)/($A39-C$37))/(1+$A39)^5</f>
        <v>246.434998161094</v>
      </c>
      <c r="D39" s="14" t="n">
        <f aca="true">SUMPRODUCT(B18*(1+B17)^ROW(INDIRECT("1:5"))/(1+$A39)^ROW(INDIRECT("1:5")))+(B18*(1+B17)^5*(1+D$37)/($A39-D$37))/(1+$A39)^5</f>
        <v>259.58639543473</v>
      </c>
      <c r="E39" s="14" t="n">
        <f aca="true">SUMPRODUCT(B18*(1+B17)^ROW(INDIRECT("1:5"))/(1+$A39)^ROW(INDIRECT("1:5")))+(B18*(1+B17)^5*(1+E$37)/($A39-E$37))/(1+$A39)^5</f>
        <v>274.693390815971</v>
      </c>
      <c r="F39" s="14" t="n">
        <f aca="true">SUMPRODUCT(B18*(1+B17)^ROW(INDIRECT("1:5"))/(1+$A39)^ROW(INDIRECT("1:5")))+(B18*(1+B17)^5*(1+F$37)/($A39-F$37))/(1+$A39)^5</f>
        <v>292.227212764478</v>
      </c>
    </row>
    <row r="40" customFormat="false" ht="15" hidden="false" customHeight="false" outlineLevel="0" collapsed="false">
      <c r="A40" s="27" t="n">
        <f aca="false">B15+(0)</f>
        <v>0.13725</v>
      </c>
      <c r="B40" s="14" t="n">
        <f aca="true">SUMPRODUCT(B18*(1+B17)^ROW(INDIRECT("1:5"))/(1+$A40)^ROW(INDIRECT("1:5")))+(B18*(1+B17)^5*(1+B$37)/($A40-B$37))/(1+$A40)^5</f>
        <v>221.107663686361</v>
      </c>
      <c r="C40" s="14" t="n">
        <f aca="true">SUMPRODUCT(B18*(1+B17)^ROW(INDIRECT("1:5"))/(1+$A40)^ROW(INDIRECT("1:5")))+(B18*(1+B17)^5*(1+C$37)/($A40-C$37))/(1+$A40)^5</f>
        <v>231.157348231976</v>
      </c>
      <c r="D40" s="28" t="n">
        <f aca="true">SUMPRODUCT(B18*(1+B17)^ROW(INDIRECT("1:5"))/(1+$A40)^ROW(INDIRECT("1:5")))+(B18*(1+B17)^5*(1+D$37)/($A40-D$37))/(1+$A40)^5</f>
        <v>242.507962815859</v>
      </c>
      <c r="E40" s="14" t="n">
        <f aca="true">SUMPRODUCT(B18*(1+B17)^ROW(INDIRECT("1:5"))/(1+$A40)^ROW(INDIRECT("1:5")))+(B18*(1+B17)^5*(1+E$37)/($A40-E$37))/(1+$A40)^5</f>
        <v>255.42959671931</v>
      </c>
      <c r="F40" s="14" t="n">
        <f aca="true">SUMPRODUCT(B18*(1+B17)^ROW(INDIRECT("1:5"))/(1+$A40)^ROW(INDIRECT("1:5")))+(B18*(1+B17)^5*(1+F$37)/($A40-F$37))/(1+$A40)^5</f>
        <v>270.27266317346</v>
      </c>
    </row>
    <row r="41" customFormat="false" ht="15" hidden="false" customHeight="false" outlineLevel="0" collapsed="false">
      <c r="A41" s="27" t="n">
        <f aca="false">B15+(0.005)</f>
        <v>0.14225</v>
      </c>
      <c r="B41" s="14" t="n">
        <f aca="true">SUMPRODUCT(B18*(1+B17)^ROW(INDIRECT("1:5"))/(1+$A41)^ROW(INDIRECT("1:5")))+(B18*(1+B17)^5*(1+B$37)/($A41-B$37))/(1+$A41)^5</f>
        <v>208.831123258413</v>
      </c>
      <c r="C41" s="14" t="n">
        <f aca="true">SUMPRODUCT(B18*(1+B17)^ROW(INDIRECT("1:5"))/(1+$A41)^ROW(INDIRECT("1:5")))+(B18*(1+B17)^5*(1+C$37)/($A41-C$37))/(1+$A41)^5</f>
        <v>217.635549845474</v>
      </c>
      <c r="D41" s="14" t="n">
        <f aca="true">SUMPRODUCT(B18*(1+B17)^ROW(INDIRECT("1:5"))/(1+$A41)^ROW(INDIRECT("1:5")))+(B18*(1+B17)^5*(1+D$37)/($A41-D$37))/(1+$A41)^5</f>
        <v>227.510423434</v>
      </c>
      <c r="E41" s="14" t="n">
        <f aca="true">SUMPRODUCT(B18*(1+B17)^ROW(INDIRECT("1:5"))/(1+$A41)^ROW(INDIRECT("1:5")))+(B18*(1+B17)^5*(1+E$37)/($A41-E$37))/(1+$A41)^5</f>
        <v>238.663597810686</v>
      </c>
      <c r="F41" s="14" t="n">
        <f aca="true">SUMPRODUCT(B18*(1+B17)^ROW(INDIRECT("1:5"))/(1+$A41)^ROW(INDIRECT("1:5")))+(B18*(1+B17)^5*(1+F$37)/($A41-F$37))/(1+$A41)^5</f>
        <v>251.360464142622</v>
      </c>
    </row>
    <row r="42" customFormat="false" ht="15" hidden="false" customHeight="false" outlineLevel="0" collapsed="false">
      <c r="A42" s="27" t="n">
        <f aca="false">B15+(0.01)</f>
        <v>0.14725</v>
      </c>
      <c r="B42" s="14" t="n">
        <f aca="true">SUMPRODUCT(B18*(1+B17)^ROW(INDIRECT("1:5"))/(1+$A42)^ROW(INDIRECT("1:5")))+(B18*(1+B17)^5*(1+B$37)/($A42-B$37))/(1+$A42)^5</f>
        <v>197.821715281376</v>
      </c>
      <c r="C42" s="14" t="n">
        <f aca="true">SUMPRODUCT(B18*(1+B17)^ROW(INDIRECT("1:5"))/(1+$A42)^ROW(INDIRECT("1:5")))+(B18*(1+B17)^5*(1+C$37)/($A42-C$37))/(1+$A42)^5</f>
        <v>205.583995266261</v>
      </c>
      <c r="D42" s="14" t="n">
        <f aca="true">SUMPRODUCT(B18*(1+B17)^ROW(INDIRECT("1:5"))/(1+$A42)^ROW(INDIRECT("1:5")))+(B18*(1+B17)^5*(1+D$37)/($A42-D$37))/(1+$A42)^5</f>
        <v>214.235934848269</v>
      </c>
      <c r="E42" s="14" t="n">
        <f aca="true">SUMPRODUCT(B18*(1+B17)^ROW(INDIRECT("1:5"))/(1+$A42)^ROW(INDIRECT("1:5")))+(B18*(1+B17)^5*(1+E$37)/($A42-E$37))/(1+$A42)^5</f>
        <v>223.939781978241</v>
      </c>
      <c r="F42" s="14" t="n">
        <f aca="true">SUMPRODUCT(B18*(1+B17)^ROW(INDIRECT("1:5"))/(1+$A42)^ROW(INDIRECT("1:5")))+(B18*(1+B17)^5*(1+F$37)/($A42-F$37))/(1+$A42)^5</f>
        <v>234.899790548985</v>
      </c>
    </row>
  </sheetData>
  <mergeCells count="15">
    <mergeCell ref="A1:H1"/>
    <mergeCell ref="A2:H2"/>
    <mergeCell ref="A4:C4"/>
    <mergeCell ref="C5:H5"/>
    <mergeCell ref="C6:H6"/>
    <mergeCell ref="C7:H7"/>
    <mergeCell ref="C8:H8"/>
    <mergeCell ref="C9:H9"/>
    <mergeCell ref="C10:H10"/>
    <mergeCell ref="C11:H11"/>
    <mergeCell ref="C12:H12"/>
    <mergeCell ref="A14:C14"/>
    <mergeCell ref="A21:H21"/>
    <mergeCell ref="A34:H34"/>
    <mergeCell ref="A35:H3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4" min="2" style="0" width="16"/>
  </cols>
  <sheetData>
    <row r="1" customFormat="false" ht="25.5" hidden="false" customHeight="true" outlineLevel="0" collapsed="false">
      <c r="A1" s="1" t="s">
        <v>72</v>
      </c>
      <c r="B1" s="1"/>
      <c r="C1" s="1"/>
      <c r="D1" s="1"/>
    </row>
    <row r="2" customFormat="false" ht="15" hidden="false" customHeight="false" outlineLevel="0" collapsed="false">
      <c r="A2" s="2" t="s">
        <v>73</v>
      </c>
      <c r="B2" s="2"/>
      <c r="C2" s="2"/>
      <c r="D2" s="2"/>
    </row>
    <row r="4" customFormat="false" ht="15" hidden="false" customHeight="false" outlineLevel="0" collapsed="false">
      <c r="A4" s="3" t="s">
        <v>74</v>
      </c>
      <c r="B4" s="3" t="s">
        <v>75</v>
      </c>
      <c r="C4" s="3"/>
      <c r="D4" s="3"/>
    </row>
    <row r="5" customFormat="false" ht="15" hidden="false" customHeight="false" outlineLevel="0" collapsed="false">
      <c r="A5" s="9" t="s">
        <v>76</v>
      </c>
      <c r="B5" s="23" t="n">
        <f aca="false">Comps!D19</f>
        <v>808.004720092616</v>
      </c>
    </row>
    <row r="6" customFormat="false" ht="15" hidden="false" customHeight="false" outlineLevel="0" collapsed="false">
      <c r="A6" s="9" t="s">
        <v>77</v>
      </c>
      <c r="B6" s="23" t="n">
        <f aca="false">Comps!D20</f>
        <v>828.891692814022</v>
      </c>
    </row>
    <row r="7" customFormat="false" ht="15" hidden="false" customHeight="false" outlineLevel="0" collapsed="false">
      <c r="A7" s="9" t="s">
        <v>78</v>
      </c>
      <c r="B7" s="23" t="n">
        <f aca="false">Comps!D21</f>
        <v>801.471023742193</v>
      </c>
    </row>
    <row r="8" customFormat="false" ht="15" hidden="false" customHeight="false" outlineLevel="0" collapsed="false">
      <c r="A8" s="9" t="s">
        <v>79</v>
      </c>
      <c r="B8" s="23" t="n">
        <f aca="false">Comps!D22</f>
        <v>738.687772925764</v>
      </c>
    </row>
    <row r="9" customFormat="false" ht="15" hidden="false" customHeight="false" outlineLevel="0" collapsed="false">
      <c r="A9" s="9" t="s">
        <v>80</v>
      </c>
      <c r="B9" s="23" t="n">
        <f aca="false">DDM!B30</f>
        <v>242.507962815859</v>
      </c>
    </row>
    <row r="10" customFormat="false" ht="15" hidden="false" customHeight="false" outlineLevel="0" collapsed="false">
      <c r="A10" s="4" t="s">
        <v>81</v>
      </c>
      <c r="B10" s="23" t="n">
        <f aca="false">Comps!B5</f>
        <v>799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2026-07-19T11:58:26Z</dcterms:created>
  <dc:creator>openpyxl</dc:creator>
  <dc:description/>
  <dc:language>en-US</dc:language>
  <cp:lastModifiedBy/>
  <dcterms:modified xsi:type="dcterms:W3CDTF">2026-07-19T11:58:26Z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